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bd8becdb44c660/R-Git projects/WattKrug/A_Results_Suppl/"/>
    </mc:Choice>
  </mc:AlternateContent>
  <xr:revisionPtr revIDLastSave="7" documentId="8_{2AAD539D-9630-4C8D-A3C8-6FEE3604DC3C}" xr6:coauthVersionLast="47" xr6:coauthVersionMax="47" xr10:uidLastSave="{CA9D947F-F1A4-48FE-9F3F-EC4EC6A3D3F0}"/>
  <bookViews>
    <workbookView xWindow="-23280" yWindow="2760" windowWidth="14940" windowHeight="14355" xr2:uid="{AF21E024-BC7E-4352-984F-E68B10625382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<sst xmlns="http://schemas.openxmlformats.org/spreadsheetml/2006/main" count="74" uniqueCount="59">
  <si>
    <t>Species</t>
  </si>
  <si>
    <t>Breeding stock</t>
  </si>
  <si>
    <t>G</t>
  </si>
  <si>
    <t>Humpback whale</t>
  </si>
  <si>
    <t>Density</t>
  </si>
  <si>
    <t>Abundance</t>
  </si>
  <si>
    <t>Source</t>
  </si>
  <si>
    <t>Year</t>
  </si>
  <si>
    <t>Seiboth et al. 2023</t>
  </si>
  <si>
    <t>Geographic location</t>
  </si>
  <si>
    <t>CCAMLR Subarea 48.1</t>
  </si>
  <si>
    <t>Bransfield Strait</t>
  </si>
  <si>
    <t>Antarctic Peninsula</t>
  </si>
  <si>
    <t>Western Antarctic Peninsula</t>
  </si>
  <si>
    <t>Bransfield and Gerlache Straits</t>
  </si>
  <si>
    <t>South of 60°S, 110°W–50°W</t>
  </si>
  <si>
    <t>Whole G stock</t>
  </si>
  <si>
    <t>SE=266</t>
  </si>
  <si>
    <t>8520-10202</t>
  </si>
  <si>
    <t>CV = 0.63</t>
  </si>
  <si>
    <t>CV = 0.34</t>
  </si>
  <si>
    <t>CV = 0.21</t>
  </si>
  <si>
    <t>CV = 0.05; 3666-4036</t>
  </si>
  <si>
    <t>CV = 32.41</t>
  </si>
  <si>
    <t>CV = 14.13; 95% CI = 656–1,141</t>
  </si>
  <si>
    <t>CV= 0.06; 95% CI = 10,944–14,791</t>
  </si>
  <si>
    <t>Range</t>
  </si>
  <si>
    <t>Drake Passage + Bransfield Strait</t>
  </si>
  <si>
    <t xml:space="preserve">95% CI = 1,207-6,710 </t>
  </si>
  <si>
    <t>Herr et al. 2016</t>
  </si>
  <si>
    <t>Johannessen et al. 2020</t>
  </si>
  <si>
    <t>Fin whales</t>
  </si>
  <si>
    <t>2000</t>
  </si>
  <si>
    <t>1,492</t>
  </si>
  <si>
    <t>Hill et al., 2006 / Reilly et al., 2004</t>
  </si>
  <si>
    <t>2010–2024</t>
  </si>
  <si>
    <t>Encounter Rate (ER) = 0.055 (n=349)</t>
  </si>
  <si>
    <t>Vitale et al., 2026</t>
  </si>
  <si>
    <t>2013</t>
  </si>
  <si>
    <t>4,898 (Drake Passage / South Shetlands)</t>
  </si>
  <si>
    <t>Herr et al., 2016 / Biuw et al., 2024</t>
  </si>
  <si>
    <t>94 (Bransfield Strait)</t>
  </si>
  <si>
    <t>Herr et al., 2016</t>
  </si>
  <si>
    <t>2013–2020</t>
  </si>
  <si>
    <t>14,360</t>
  </si>
  <si>
    <t>Warwick-Evans et al., 2022</t>
  </si>
  <si>
    <t>2016</t>
  </si>
  <si>
    <t>528 (Elephant Island)</t>
  </si>
  <si>
    <t>Viquerat &amp; Herr, 2017</t>
  </si>
  <si>
    <t>2018</t>
  </si>
  <si>
    <t>7,909 (whole survey area); 3,618 (Elephant Island hotspot)</t>
  </si>
  <si>
    <t>Herr et al., 2022</t>
  </si>
  <si>
    <t>2019</t>
  </si>
  <si>
    <t>13,486</t>
  </si>
  <si>
    <t>Biuw et al., 2024</t>
  </si>
  <si>
    <t>2022</t>
  </si>
  <si>
    <t>0.025 ind./km (Bransfield Strait); 0.011 ind./km (Antarctic Strait)</t>
  </si>
  <si>
    <t>Chernetsky et al., 2023</t>
  </si>
  <si>
    <t>WORK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</si>
</sst>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B8C9-7696-4D25-8C3E-726728D0E755}">
  <dimension ref="A1:H24"/>
  <sheetViews>
    <sheetView tabSelected="1" workbookViewId="0">
      <selection activeCell="B18" sqref="B18"/>
    </sheetView>
  </sheetViews>
  <sheetFormatPr baseColWidth="10" defaultRowHeight="15" x14ac:dyDescent="0.25"/>
  <cols>
    <col min="1" max="1" width="16.42578125" bestFit="1" customWidth="1"/>
    <col min="2" max="2" width="13.85546875" bestFit="1" customWidth="1"/>
    <col min="3" max="3" width="28.5703125" bestFit="1" customWidth="1"/>
    <col min="4" max="4" width="13.85546875" customWidth="1"/>
    <col min="7" max="7" width="27.140625" bestFit="1" customWidth="1"/>
  </cols>
  <sheetData>
    <row r="1" spans="1:8" x14ac:dyDescent="0.25">
      <c r="A1" t="s">
        <v>0</v>
      </c>
      <c r="B1" t="s">
        <v>1</v>
      </c>
      <c r="C1" t="s">
        <v>9</v>
      </c>
      <c r="D1" t="s">
        <v>7</v>
      </c>
      <c r="E1" t="s">
        <v>4</v>
      </c>
      <c r="F1" t="s">
        <v>5</v>
      </c>
      <c r="G1" t="s">
        <v>26</v>
      </c>
      <c r="H1" t="s">
        <v>6</v>
      </c>
    </row>
    <row r="2" spans="1:8" x14ac:dyDescent="0.25">
      <c r="A2" t="s">
        <v>3</v>
      </c>
      <c r="B2" t="s">
        <v>2</v>
      </c>
      <c r="C2" t="s">
        <v>15</v>
      </c>
      <c r="D2">
        <v>1983</v>
      </c>
      <c r="F2">
        <v>683</v>
      </c>
      <c r="G2" t="s">
        <v>19</v>
      </c>
      <c r="H2" t="s">
        <v>8</v>
      </c>
    </row>
    <row r="3" spans="1:8" x14ac:dyDescent="0.25">
      <c r="C3" t="s">
        <v>15</v>
      </c>
      <c r="D3">
        <v>1990</v>
      </c>
      <c r="F3">
        <v>1505</v>
      </c>
      <c r="G3" t="s">
        <v>20</v>
      </c>
      <c r="H3" t="s">
        <v>8</v>
      </c>
    </row>
    <row r="4" spans="1:8" x14ac:dyDescent="0.25">
      <c r="C4" t="s">
        <v>12</v>
      </c>
      <c r="D4">
        <v>1997</v>
      </c>
      <c r="F4">
        <v>3851</v>
      </c>
      <c r="G4" t="s">
        <v>22</v>
      </c>
      <c r="H4" t="s">
        <v>8</v>
      </c>
    </row>
    <row r="5" spans="1:8" x14ac:dyDescent="0.25">
      <c r="C5" t="s">
        <v>15</v>
      </c>
      <c r="D5">
        <v>1997</v>
      </c>
      <c r="F5">
        <v>3337</v>
      </c>
      <c r="G5" t="s">
        <v>21</v>
      </c>
      <c r="H5" t="s">
        <v>8</v>
      </c>
    </row>
    <row r="6" spans="1:8" x14ac:dyDescent="0.25">
      <c r="C6" t="s">
        <v>10</v>
      </c>
      <c r="D6">
        <v>2000</v>
      </c>
      <c r="F6">
        <v>6991</v>
      </c>
      <c r="G6" t="s">
        <v>23</v>
      </c>
      <c r="H6" t="s">
        <v>8</v>
      </c>
    </row>
    <row r="7" spans="1:8" x14ac:dyDescent="0.25">
      <c r="C7" t="s">
        <v>11</v>
      </c>
      <c r="D7">
        <v>2006</v>
      </c>
      <c r="F7">
        <v>865</v>
      </c>
      <c r="G7" t="s">
        <v>24</v>
      </c>
      <c r="H7" t="s">
        <v>8</v>
      </c>
    </row>
    <row r="8" spans="1:8" x14ac:dyDescent="0.25">
      <c r="C8" t="s">
        <v>14</v>
      </c>
      <c r="D8">
        <v>2006</v>
      </c>
      <c r="F8">
        <v>865</v>
      </c>
      <c r="G8" t="s">
        <v>24</v>
      </c>
      <c r="H8" t="s">
        <v>8</v>
      </c>
    </row>
    <row r="9" spans="1:8" x14ac:dyDescent="0.25">
      <c r="C9" t="s">
        <v>27</v>
      </c>
      <c r="D9">
        <v>2013</v>
      </c>
      <c r="F9">
        <f>934+3024</f>
        <v>3958</v>
      </c>
      <c r="G9" t="s">
        <v>28</v>
      </c>
      <c r="H9" t="s">
        <v>29</v>
      </c>
    </row>
    <row r="10" spans="1:8" x14ac:dyDescent="0.25">
      <c r="C10" t="s">
        <v>16</v>
      </c>
      <c r="D10">
        <v>2015</v>
      </c>
      <c r="F10">
        <v>9687</v>
      </c>
      <c r="G10" t="s">
        <v>18</v>
      </c>
      <c r="H10" t="s">
        <v>8</v>
      </c>
    </row>
    <row r="11" spans="1:8" x14ac:dyDescent="0.25">
      <c r="C11" t="s">
        <v>16</v>
      </c>
      <c r="D11">
        <v>2018</v>
      </c>
      <c r="F11">
        <v>11784</v>
      </c>
      <c r="G11" t="s">
        <v>17</v>
      </c>
      <c r="H11" t="s">
        <v>8</v>
      </c>
    </row>
    <row r="12" spans="1:8" x14ac:dyDescent="0.25">
      <c r="C12" t="s">
        <v>13</v>
      </c>
      <c r="D12">
        <v>2020</v>
      </c>
      <c r="F12">
        <v>12724</v>
      </c>
      <c r="G12" t="s">
        <v>25</v>
      </c>
      <c r="H12" t="s">
        <v>8</v>
      </c>
    </row>
    <row r="13" spans="1:8" x14ac:dyDescent="0.25">
      <c r="C13" t="s">
        <v>13</v>
      </c>
      <c r="D13">
        <v>2020</v>
      </c>
      <c r="F13">
        <v>19107</v>
      </c>
      <c r="H13" t="s">
        <v>30</v>
      </c>
    </row>
    <row r="16" spans="1:8" x14ac:dyDescent="0.25">
      <c r="A16" t="s">
        <v>31</v>
      </c>
      <c r="D16" t="s">
        <v>32</v>
      </c>
      <c r="F16" t="s">
        <v>33</v>
      </c>
      <c r="H16" t="s">
        <v>34</v>
      </c>
    </row>
    <row r="17" spans="2:8" x14ac:dyDescent="0.25">
      <c r="B17" t="s">
        <v>58</v>
      </c>
      <c r="D17" t="s">
        <v>35</v>
      </c>
      <c r="G17" t="s">
        <v>36</v>
      </c>
      <c r="H17" t="s">
        <v>37</v>
      </c>
    </row>
    <row r="18" spans="2:8" x14ac:dyDescent="0.25">
      <c r="D18" t="s">
        <v>38</v>
      </c>
      <c r="F18" t="s">
        <v>39</v>
      </c>
      <c r="H18" t="s">
        <v>40</v>
      </c>
    </row>
    <row r="19" spans="2:8" x14ac:dyDescent="0.25">
      <c r="D19" t="s">
        <v>38</v>
      </c>
      <c r="F19" t="s">
        <v>41</v>
      </c>
      <c r="H19" t="s">
        <v>42</v>
      </c>
    </row>
    <row r="20" spans="2:8" x14ac:dyDescent="0.25">
      <c r="D20" t="s">
        <v>43</v>
      </c>
      <c r="F20" t="s">
        <v>44</v>
      </c>
      <c r="H20" t="s">
        <v>45</v>
      </c>
    </row>
    <row r="21" spans="2:8" x14ac:dyDescent="0.25">
      <c r="D21" t="s">
        <v>46</v>
      </c>
      <c r="F21" t="s">
        <v>47</v>
      </c>
      <c r="H21" t="s">
        <v>48</v>
      </c>
    </row>
    <row r="22" spans="2:8" x14ac:dyDescent="0.25">
      <c r="D22" t="s">
        <v>49</v>
      </c>
      <c r="F22" t="s">
        <v>50</v>
      </c>
      <c r="H22" t="s">
        <v>51</v>
      </c>
    </row>
    <row r="23" spans="2:8" x14ac:dyDescent="0.25">
      <c r="D23" t="s">
        <v>52</v>
      </c>
      <c r="F23" t="s">
        <v>53</v>
      </c>
      <c r="H23" t="s">
        <v>54</v>
      </c>
    </row>
    <row r="24" spans="2:8" x14ac:dyDescent="0.25">
      <c r="D24" t="s">
        <v>55</v>
      </c>
      <c r="G24" t="s">
        <v>56</v>
      </c>
      <c r="H24" t="s">
        <v>57</v>
      </c>
    </row>
  </sheetData>
  <sortState xmlns:xlrd2="http://schemas.microsoft.com/office/spreadsheetml/2017/richdata2" ref="C2:H10">
    <sortCondition ref="D2:D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ARATA</dc:creator>
  <cp:lastModifiedBy>JAVIER ARATA</cp:lastModifiedBy>
  <dcterms:created xsi:type="dcterms:W3CDTF">2026-03-17T21:21:40Z</dcterms:created>
  <dcterms:modified xsi:type="dcterms:W3CDTF">2026-03-17T22:02:09Z</dcterms:modified>
</cp:coreProperties>
</file>