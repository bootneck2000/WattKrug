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bd8becdb44c660/R-Git projects/WattKrug/A_Results_Suppl/"/>
    </mc:Choice>
  </mc:AlternateContent>
  <xr:revisionPtr revIDLastSave="67" documentId="8_{2AAD539D-9630-4C8D-A3C8-6FEE3604DC3C}" xr6:coauthVersionLast="47" xr6:coauthVersionMax="47" xr10:uidLastSave="{BA720964-568C-44E3-BEF4-1FB54C20171B}"/>
  <bookViews>
    <workbookView xWindow="1170" yWindow="1170" windowWidth="26970" windowHeight="12945" xr2:uid="{AF21E024-BC7E-4352-984F-E68B10625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9" i="1" l="1"/>
</calcChain>
</file>

<file path=xl/sharedStrings.xml><?xml version="1.0" encoding="utf-8"?>
<sst xmlns="http://schemas.openxmlformats.org/spreadsheetml/2006/main" count="55" uniqueCount="39">
  <si>
    <t>Species</t>
  </si>
  <si>
    <t>Humpback whale</t>
  </si>
  <si>
    <t>Abundance</t>
  </si>
  <si>
    <t>Source</t>
  </si>
  <si>
    <t>Year</t>
  </si>
  <si>
    <t>Seiboth et al. 2023</t>
  </si>
  <si>
    <t>Geographic location</t>
  </si>
  <si>
    <t>CCAMLR Subarea 48.1</t>
  </si>
  <si>
    <t>Bransfield Strait</t>
  </si>
  <si>
    <t>Antarctic Peninsula</t>
  </si>
  <si>
    <t>Western Antarctic Peninsula</t>
  </si>
  <si>
    <t>Bransfield and Gerlache Straits</t>
  </si>
  <si>
    <t>South of 60°S, 110°W–50°W</t>
  </si>
  <si>
    <t>Whole G stock</t>
  </si>
  <si>
    <t>SE=266</t>
  </si>
  <si>
    <t>8520-10202</t>
  </si>
  <si>
    <t>CV = 0.63</t>
  </si>
  <si>
    <t>CV = 0.34</t>
  </si>
  <si>
    <t>CV = 0.21</t>
  </si>
  <si>
    <t>CV = 0.05; 3666-4036</t>
  </si>
  <si>
    <t>CV= 0.06; 95% CI = 10,944–14,791</t>
  </si>
  <si>
    <t>Range</t>
  </si>
  <si>
    <t>Drake Passage + Bransfield Strait</t>
  </si>
  <si>
    <t xml:space="preserve">95% CI = 1,207-6,710 </t>
  </si>
  <si>
    <t>Herr et al. 2016</t>
  </si>
  <si>
    <t>Johannessen et al. 2020</t>
  </si>
  <si>
    <t>Fin whales</t>
  </si>
  <si>
    <t>Herr et al., 2016</t>
  </si>
  <si>
    <t>Herr et al., 2022</t>
  </si>
  <si>
    <t>Biuw et al., 2024</t>
  </si>
  <si>
    <t>Reilly et al., 2004</t>
  </si>
  <si>
    <t>CV = 57.08%</t>
  </si>
  <si>
    <t>CV = 32.41%</t>
  </si>
  <si>
    <t>CV = 14.13%; 95% CI = 656–1,141</t>
  </si>
  <si>
    <t>Antarctic Peninsula stratum</t>
  </si>
  <si>
    <t>95% CI = 2,221-7785</t>
  </si>
  <si>
    <t>95% CI = 1,047-15,743</t>
  </si>
  <si>
    <t>South Shetlands North + Elephant Island</t>
  </si>
  <si>
    <t>95% CI = 7,454-24,400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</si>
</sst>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B8C9-7696-4D25-8C3E-726728D0E755}">
  <dimension ref="A1:F18"/>
  <sheetViews>
    <sheetView tabSelected="1" workbookViewId="0">
      <selection activeCell="I11" sqref="I11"/>
    </sheetView>
  </sheetViews>
  <sheetFormatPr baseColWidth="10" defaultRowHeight="15" x14ac:dyDescent="0.25"/>
  <cols>
    <col min="1" max="1" width="16.42578125" bestFit="1" customWidth="1"/>
    <col min="2" max="2" width="30.28515625" bestFit="1" customWidth="1"/>
    <col min="3" max="3" width="13.85546875" customWidth="1"/>
    <col min="5" max="5" width="29.28515625" bestFit="1" customWidth="1"/>
    <col min="6" max="6" width="22" bestFit="1" customWidth="1"/>
  </cols>
  <sheetData>
    <row r="1" spans="1:6" x14ac:dyDescent="0.25">
      <c r="A1" t="s">
        <v>0</v>
      </c>
      <c r="B1" t="s">
        <v>6</v>
      </c>
      <c r="C1" t="s">
        <v>4</v>
      </c>
      <c r="D1" t="s">
        <v>2</v>
      </c>
      <c r="E1" t="s">
        <v>21</v>
      </c>
      <c r="F1" t="s">
        <v>3</v>
      </c>
    </row>
    <row r="2" spans="1:6" x14ac:dyDescent="0.25">
      <c r="A2" t="s">
        <v>1</v>
      </c>
      <c r="B2" t="s">
        <v>12</v>
      </c>
      <c r="C2">
        <v>1983</v>
      </c>
      <c r="D2" s="1">
        <v>683</v>
      </c>
      <c r="E2" t="s">
        <v>16</v>
      </c>
      <c r="F2" t="s">
        <v>5</v>
      </c>
    </row>
    <row r="3" spans="1:6" x14ac:dyDescent="0.25">
      <c r="B3" t="s">
        <v>12</v>
      </c>
      <c r="C3">
        <v>1990</v>
      </c>
      <c r="D3" s="1">
        <v>1505</v>
      </c>
      <c r="E3" t="s">
        <v>17</v>
      </c>
      <c r="F3" t="s">
        <v>5</v>
      </c>
    </row>
    <row r="4" spans="1:6" x14ac:dyDescent="0.25">
      <c r="B4" t="s">
        <v>9</v>
      </c>
      <c r="C4">
        <v>1997</v>
      </c>
      <c r="D4" s="1">
        <v>3851</v>
      </c>
      <c r="E4" t="s">
        <v>19</v>
      </c>
      <c r="F4" t="s">
        <v>5</v>
      </c>
    </row>
    <row r="5" spans="1:6" x14ac:dyDescent="0.25">
      <c r="B5" t="s">
        <v>12</v>
      </c>
      <c r="C5">
        <v>1997</v>
      </c>
      <c r="D5" s="1">
        <v>3337</v>
      </c>
      <c r="E5" t="s">
        <v>18</v>
      </c>
      <c r="F5" t="s">
        <v>5</v>
      </c>
    </row>
    <row r="6" spans="1:6" x14ac:dyDescent="0.25">
      <c r="B6" t="s">
        <v>7</v>
      </c>
      <c r="C6">
        <v>2000</v>
      </c>
      <c r="D6" s="1">
        <v>6991</v>
      </c>
      <c r="E6" t="s">
        <v>32</v>
      </c>
      <c r="F6" t="s">
        <v>5</v>
      </c>
    </row>
    <row r="7" spans="1:6" x14ac:dyDescent="0.25">
      <c r="B7" t="s">
        <v>8</v>
      </c>
      <c r="C7">
        <v>2006</v>
      </c>
      <c r="D7" s="1">
        <v>865</v>
      </c>
      <c r="E7" t="s">
        <v>33</v>
      </c>
      <c r="F7" t="s">
        <v>5</v>
      </c>
    </row>
    <row r="8" spans="1:6" x14ac:dyDescent="0.25">
      <c r="B8" t="s">
        <v>11</v>
      </c>
      <c r="C8">
        <v>2006</v>
      </c>
      <c r="D8" s="1">
        <v>865</v>
      </c>
      <c r="E8" t="s">
        <v>33</v>
      </c>
      <c r="F8" t="s">
        <v>5</v>
      </c>
    </row>
    <row r="9" spans="1:6" x14ac:dyDescent="0.25">
      <c r="B9" t="s">
        <v>22</v>
      </c>
      <c r="C9">
        <v>2013</v>
      </c>
      <c r="D9" s="1">
        <f>934+3024</f>
        <v>3958</v>
      </c>
      <c r="E9" t="s">
        <v>23</v>
      </c>
      <c r="F9" t="s">
        <v>24</v>
      </c>
    </row>
    <row r="10" spans="1:6" x14ac:dyDescent="0.25">
      <c r="B10" t="s">
        <v>13</v>
      </c>
      <c r="C10">
        <v>2015</v>
      </c>
      <c r="D10" s="1">
        <v>9687</v>
      </c>
      <c r="E10" t="s">
        <v>15</v>
      </c>
      <c r="F10" t="s">
        <v>5</v>
      </c>
    </row>
    <row r="11" spans="1:6" x14ac:dyDescent="0.25">
      <c r="B11" t="s">
        <v>13</v>
      </c>
      <c r="C11">
        <v>2018</v>
      </c>
      <c r="D11" s="1">
        <v>11784</v>
      </c>
      <c r="E11" t="s">
        <v>14</v>
      </c>
      <c r="F11" t="s">
        <v>5</v>
      </c>
    </row>
    <row r="12" spans="1:6" x14ac:dyDescent="0.25">
      <c r="B12" t="s">
        <v>10</v>
      </c>
      <c r="C12">
        <v>2020</v>
      </c>
      <c r="D12" s="1">
        <v>12724</v>
      </c>
      <c r="E12" t="s">
        <v>20</v>
      </c>
      <c r="F12" t="s">
        <v>5</v>
      </c>
    </row>
    <row r="13" spans="1:6" x14ac:dyDescent="0.25">
      <c r="B13" t="s">
        <v>10</v>
      </c>
      <c r="C13">
        <v>2020</v>
      </c>
      <c r="D13" s="1">
        <v>19107</v>
      </c>
      <c r="F13" t="s">
        <v>25</v>
      </c>
    </row>
    <row r="14" spans="1:6" x14ac:dyDescent="0.25">
      <c r="D14" s="1"/>
    </row>
    <row r="15" spans="1:6" x14ac:dyDescent="0.25">
      <c r="A15" t="s">
        <v>26</v>
      </c>
      <c r="B15" t="s">
        <v>34</v>
      </c>
      <c r="C15">
        <v>2000</v>
      </c>
      <c r="D15" s="1">
        <v>1492</v>
      </c>
      <c r="E15" t="s">
        <v>31</v>
      </c>
      <c r="F15" t="s">
        <v>30</v>
      </c>
    </row>
    <row r="16" spans="1:6" x14ac:dyDescent="0.25">
      <c r="B16" t="s">
        <v>34</v>
      </c>
      <c r="C16">
        <v>2013</v>
      </c>
      <c r="D16" s="1">
        <f>4898+94</f>
        <v>4992</v>
      </c>
      <c r="E16" t="s">
        <v>35</v>
      </c>
      <c r="F16" t="s">
        <v>27</v>
      </c>
    </row>
    <row r="17" spans="2:6" x14ac:dyDescent="0.25">
      <c r="B17" t="s">
        <v>37</v>
      </c>
      <c r="C17">
        <v>2019</v>
      </c>
      <c r="D17" s="1">
        <v>7909</v>
      </c>
      <c r="E17" t="s">
        <v>36</v>
      </c>
      <c r="F17" t="s">
        <v>28</v>
      </c>
    </row>
    <row r="18" spans="2:6" x14ac:dyDescent="0.25">
      <c r="B18" t="s">
        <v>34</v>
      </c>
      <c r="C18">
        <v>2019</v>
      </c>
      <c r="D18" s="1">
        <v>13486</v>
      </c>
      <c r="E18" t="s">
        <v>38</v>
      </c>
      <c r="F18" t="s">
        <v>29</v>
      </c>
    </row>
  </sheetData>
  <sortState xmlns:xlrd2="http://schemas.microsoft.com/office/spreadsheetml/2017/richdata2" ref="B2:F10">
    <sortCondition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ARATA</dc:creator>
  <cp:lastModifiedBy>JAVIER ARATA</cp:lastModifiedBy>
  <dcterms:created xsi:type="dcterms:W3CDTF">2026-03-17T21:21:40Z</dcterms:created>
  <dcterms:modified xsi:type="dcterms:W3CDTF">2026-03-26T15:54:50Z</dcterms:modified>
</cp:coreProperties>
</file>